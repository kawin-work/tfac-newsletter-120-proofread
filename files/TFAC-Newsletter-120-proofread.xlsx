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ตรวจแก้" sheetId="1" state="visible" r:id="rId1"/>
    <sheet xmlns:r="http://schemas.openxmlformats.org/officeDocument/2006/relationships" name="สรุป" sheetId="2" state="visible" r:id="rId2"/>
  </sheets>
  <definedNames>
    <definedName name="_xlnm._FilterDatabase" localSheetId="0" hidden="1">'รายการตรวจแก้'!$A$1:$G$91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F8D7DA"/>
      </patternFill>
    </fill>
    <fill>
      <patternFill patternType="solid">
        <fgColor rgb="00FDE5CC"/>
      </patternFill>
    </fill>
    <fill>
      <patternFill patternType="solid">
        <fgColor rgb="00D6E4F7"/>
      </patternFill>
    </fill>
    <fill>
      <patternFill patternType="solid">
        <fgColor rgb="00E9DDF2"/>
      </patternFill>
    </fill>
    <fill>
      <patternFill patternType="solid">
        <fgColor rgb="001F3A6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0" customWidth="1" min="3" max="3"/>
    <col width="60" customWidth="1" min="4" max="4"/>
    <col width="45" customWidth="1" min="5" max="5"/>
    <col width="10" customWidth="1" min="6" max="6"/>
    <col width="25" customWidth="1" min="7" max="7"/>
  </cols>
  <sheetData>
    <row r="1">
      <c r="A1" s="1" t="inlineStr">
        <is>
          <t>#</t>
        </is>
      </c>
      <c r="B1" s="1" t="inlineStr">
        <is>
          <t>หน้า</t>
        </is>
      </c>
      <c r="C1" s="1" t="inlineStr">
        <is>
          <t>ระดับ</t>
        </is>
      </c>
      <c r="D1" s="1" t="inlineStr">
        <is>
          <t>สิ่งที่พบ</t>
        </is>
      </c>
      <c r="E1" s="1" t="inlineStr">
        <is>
          <t>แนะนำให้แก้</t>
        </is>
      </c>
      <c r="F1" s="1" t="inlineStr">
        <is>
          <t>สถานะ</t>
        </is>
      </c>
      <c r="G1" s="1" t="inlineStr">
        <is>
          <t>หมายเหตุผู้แก้</t>
        </is>
      </c>
    </row>
    <row r="2">
      <c r="A2" s="2" t="n">
        <v>1</v>
      </c>
      <c r="B2" s="2" t="n">
        <v>2</v>
      </c>
      <c r="C2" s="3" t="inlineStr">
        <is>
          <t>ต้องแก้ก่อนเผยแพร่</t>
        </is>
      </c>
      <c r="D2" s="4" t="inlineStr">
        <is>
          <t>หน้าถวายอาลัยระบุ "๑๓ ตุลาคม ๒๕๖๘" แต่ฉบับนี้คือ ต.ค.–ธ.ค. 2569</t>
        </is>
      </c>
      <c r="E2" s="4" t="inlineStr">
        <is>
          <t>ตรวจสอบปี: น่าจะต้องเป็น "๑๓ ตุลาคม ๒๕๖๙" (ไฟล์ปีก่อนติดมา?)</t>
        </is>
      </c>
      <c r="F2" s="5" t="inlineStr">
        <is>
          <t>รอแก้</t>
        </is>
      </c>
      <c r="G2" s="4" t="inlineStr"/>
    </row>
    <row r="3">
      <c r="A3" s="6" t="n">
        <v>2</v>
      </c>
      <c r="B3" s="6" t="n">
        <v>3</v>
      </c>
      <c r="C3" s="7" t="inlineStr">
        <is>
          <t>คำผิด/ข้อความผิด</t>
        </is>
      </c>
      <c r="D3" s="4" t="inlineStr">
        <is>
          <t>สารบัญใน Editor's Talk สะกด "วิชาชีพบัญช๊" (ใช้ไม้ตรี ๊ แทนสระ ี)</t>
        </is>
      </c>
      <c r="E3" s="4" t="inlineStr">
        <is>
          <t>แก้เป็น "วิชาชีพบัญชี"</t>
        </is>
      </c>
      <c r="F3" s="5" t="inlineStr">
        <is>
          <t>รอแก้</t>
        </is>
      </c>
      <c r="G3" s="4" t="inlineStr"/>
    </row>
    <row r="4">
      <c r="A4" s="8" t="n">
        <v>3</v>
      </c>
      <c r="B4" s="8" t="n">
        <v>3</v>
      </c>
      <c r="C4" s="9" t="inlineStr">
        <is>
          <t>เว้นวรรค/ตัดคำ/จัดหน้า</t>
        </is>
      </c>
      <c r="D4" s="4" t="inlineStr">
        <is>
          <t>"ภัทรลดา  สง่าแสง" เว้นวรรคระหว่างชื่อ-นามสกุล 2 ช่อง (คนอื่นในรายชื่อเว้น 1 ช่อง)</t>
        </is>
      </c>
      <c r="E4" s="4" t="inlineStr">
        <is>
          <t>เหลือเว้นวรรค 1 ช่อง</t>
        </is>
      </c>
      <c r="F4" s="5" t="inlineStr">
        <is>
          <t>รอแก้</t>
        </is>
      </c>
      <c r="G4" s="4" t="inlineStr"/>
    </row>
    <row r="5">
      <c r="A5" s="10" t="n">
        <v>4</v>
      </c>
      <c r="B5" s="10" t="n">
        <v>3</v>
      </c>
      <c r="C5" s="11" t="inlineStr">
        <is>
          <t>ข้อสังเกต/ควรตรวจสอบ</t>
        </is>
      </c>
      <c r="D5" s="4" t="inlineStr">
        <is>
          <t>ที่ปรึกษา: ภัทรลดา สง่าแสง ระบุตำแหน่ง "กรรมการสภาวิชาชีพบัญชีและประชาสัมพันธ์" แต่หน้า 10 ของฉบับนี้ระบุว่ากรรมการและประชาสัมพันธ์วาระ 2569–2572 คือ นายกฤษ เกตุศร</t>
        </is>
      </c>
      <c r="E5" s="4" t="inlineStr">
        <is>
          <t>ตรวจสอบรายชื่อ/ตำแหน่งที่ปรึกษาให้เป็นชุดปัจจุบันหลังเลือกตั้ง</t>
        </is>
      </c>
      <c r="F5" s="5" t="inlineStr">
        <is>
          <t>รอแก้</t>
        </is>
      </c>
      <c r="G5" s="4" t="inlineStr"/>
    </row>
    <row r="6">
      <c r="A6" s="8" t="n">
        <v>5</v>
      </c>
      <c r="B6" s="8" t="n">
        <v>3</v>
      </c>
      <c r="C6" s="9" t="inlineStr">
        <is>
          <t>เว้นวรรค/ตัดคำ/จัดหน้า</t>
        </is>
      </c>
      <c r="D6" s="4" t="inlineStr">
        <is>
          <t>กล่องวัตถุประสงค์: บางบรรทัดถูกยืดตัวอักษรห่างผิดปกติ (justify) เช่น "หรือความคิดเห็นด้านกฎหมาย ทั้งนี้", "โดยทางตรงหรือทางอ้อม..."</t>
        </is>
      </c>
      <c r="E6" s="4" t="inlineStr">
        <is>
          <t>ปรับ justification/letter-spacing หรือจัดคำใหม่ให้ระยะเท่ากัน</t>
        </is>
      </c>
      <c r="F6" s="5" t="inlineStr">
        <is>
          <t>รอแก้</t>
        </is>
      </c>
      <c r="G6" s="4" t="inlineStr"/>
    </row>
    <row r="7">
      <c r="A7" s="10" t="n">
        <v>6</v>
      </c>
      <c r="B7" s="10" t="n">
        <v>3</v>
      </c>
      <c r="C7" s="11" t="inlineStr">
        <is>
          <t>ข้อสังเกต/ควรตรวจสอบ</t>
        </is>
      </c>
      <c r="D7" s="4" t="inlineStr">
        <is>
          <t>ลำดับบทความใน Editor's Talk ไม่ตรงกับสารบัญ (สารบัญ: สอบบัญชี หน้า 23 มาก่อน มหาวิทยาลัย หน้า 26) และไม่ได้กล่าวถึงบทความหน้า 38 (TFRS ฉบับปรับปรุง) และหน้า 40 (Solar Rooftop)</t>
        </is>
      </c>
      <c r="E7" s="4" t="inlineStr">
        <is>
          <t>เรียงลำดับให้ตรงสารบัญ และเพิ่ม 2 บทความที่ขาด</t>
        </is>
      </c>
      <c r="F7" s="5" t="inlineStr">
        <is>
          <t>รอแก้</t>
        </is>
      </c>
      <c r="G7" s="4" t="inlineStr"/>
    </row>
    <row r="8">
      <c r="A8" s="10" t="n">
        <v>7</v>
      </c>
      <c r="B8" s="10" t="n">
        <v>3</v>
      </c>
      <c r="C8" s="11" t="inlineStr">
        <is>
          <t>ข้อสังเกต/ควรตรวจสอบ</t>
        </is>
      </c>
      <c r="D8" s="4" t="inlineStr">
        <is>
          <t>เบอร์ติดต่อใช้รูปแบบ "02 685 2514" ขณะที่ปกหลังใช้ "0 2685 2500"</t>
        </is>
      </c>
      <c r="E8" s="4" t="inlineStr">
        <is>
          <t>เลือกใช้รูปแบบเดียวกันทั้งเล่ม</t>
        </is>
      </c>
      <c r="F8" s="5" t="inlineStr">
        <is>
          <t>รอแก้</t>
        </is>
      </c>
      <c r="G8" s="4" t="inlineStr"/>
    </row>
    <row r="9">
      <c r="A9" s="10" t="n">
        <v>8</v>
      </c>
      <c r="B9" s="10" t="n">
        <v>5</v>
      </c>
      <c r="C9" s="11" t="inlineStr">
        <is>
          <t>ข้อสังเกต/ควรตรวจสอบ</t>
        </is>
      </c>
      <c r="D9" s="4" t="inlineStr">
        <is>
          <t>หน้าประกาศผลใช้คำนำหน้า นาย/นาง ทุกคน แต่หน้า 9–10 ใช้ ดร./รศ. ดร. (เช่น นายศุภมิตร vs ดร.ศุภมิตร, นางศศิวิมล vs รศ. ดร.ศศิวิมล)</t>
        </is>
      </c>
      <c r="E9" s="4" t="inlineStr">
        <is>
          <t>ยืนยันคำนำหน้าที่ถูกต้องและใช้ให้สอดคล้องกัน (หรือระบุว่าหน้า 5 เป็นภาพประกาศทางการ)</t>
        </is>
      </c>
      <c r="F9" s="5" t="inlineStr">
        <is>
          <t>รอแก้</t>
        </is>
      </c>
      <c r="G9" s="4" t="inlineStr"/>
    </row>
    <row r="10">
      <c r="A10" s="8" t="n">
        <v>9</v>
      </c>
      <c r="B10" s="8" t="n">
        <v>6</v>
      </c>
      <c r="C10" s="9" t="inlineStr">
        <is>
          <t>เว้นวรรค/ตัดคำ/จัดหน้า</t>
        </is>
      </c>
      <c r="D10" s="4" t="inlineStr">
        <is>
          <t>บรรทัดแรกย่อหน้าตัวหนา "ผมขอขอบคุณสมาชิกทุกท่านจากใจ สำหรับ" ถูกยืดตัวอักษรห่างผิดปกติ</t>
        </is>
      </c>
      <c r="E10" s="4" t="inlineStr">
        <is>
          <t>ปรับ justification/ตัดคำใหม่</t>
        </is>
      </c>
      <c r="F10" s="5" t="inlineStr">
        <is>
          <t>รอแก้</t>
        </is>
      </c>
      <c r="G10" s="4" t="inlineStr"/>
    </row>
    <row r="11">
      <c r="A11" s="8" t="n">
        <v>10</v>
      </c>
      <c r="B11" s="8" t="n">
        <v>6</v>
      </c>
      <c r="C11" s="9" t="inlineStr">
        <is>
          <t>เว้นวรรค/ตัดคำ/จัดหน้า</t>
        </is>
      </c>
      <c r="D11" s="4" t="inlineStr">
        <is>
          <t>ย่อหน้า "ผมและคณะกรรมการตระหนักดีว่า..." ทั้งย่อหน้ามีระยะตัวอักษรห่างกว่าย่อหน้าอื่น</t>
        </is>
      </c>
      <c r="E11" s="4" t="inlineStr">
        <is>
          <t>ปรับ letter-spacing ให้เท่ากับย่อหน้าอื่น</t>
        </is>
      </c>
      <c r="F11" s="5" t="inlineStr">
        <is>
          <t>รอแก้</t>
        </is>
      </c>
      <c r="G11" s="4" t="inlineStr"/>
    </row>
    <row r="12">
      <c r="A12" s="8" t="n">
        <v>11</v>
      </c>
      <c r="B12" s="8" t="n">
        <v>7</v>
      </c>
      <c r="C12" s="9" t="inlineStr">
        <is>
          <t>เว้นวรรค/ตัดคำ/จัดหน้า</t>
        </is>
      </c>
      <c r="D12" s="4" t="inlineStr">
        <is>
          <t>"ระดับอาเซียนซึ่งประสบการณ์" ขาดเว้นวรรคก่อน "ซึ่ง"</t>
        </is>
      </c>
      <c r="E12" s="4" t="inlineStr">
        <is>
          <t>เป็น "ระดับอาเซียน ซึ่งประสบการณ์..."</t>
        </is>
      </c>
      <c r="F12" s="5" t="inlineStr">
        <is>
          <t>รอแก้</t>
        </is>
      </c>
      <c r="G12" s="4" t="inlineStr"/>
    </row>
    <row r="13">
      <c r="A13" s="8" t="n">
        <v>12</v>
      </c>
      <c r="B13" s="8" t="n">
        <v>7</v>
      </c>
      <c r="C13" s="9" t="inlineStr">
        <is>
          <t>เว้นวรรค/ตัดคำ/จัดหน้า</t>
        </is>
      </c>
      <c r="D13" s="4" t="inlineStr">
        <is>
          <t>บรรทัด "ในแต่ละช่วงเวลาที่สำคัญ ทำให้ผมเข้าใจอย่างลึกซึ้งถึง" ตัวอักษรถูกยืดห่าง</t>
        </is>
      </c>
      <c r="E13" s="4" t="inlineStr">
        <is>
          <t>ปรับ justification</t>
        </is>
      </c>
      <c r="F13" s="5" t="inlineStr">
        <is>
          <t>รอแก้</t>
        </is>
      </c>
      <c r="G13" s="4" t="inlineStr"/>
    </row>
    <row r="14">
      <c r="A14" s="2" t="n">
        <v>13</v>
      </c>
      <c r="B14" s="2" t="n">
        <v>8</v>
      </c>
      <c r="C14" s="3" t="inlineStr">
        <is>
          <t>ต้องแก้ก่อนเผยแพร่</t>
        </is>
      </c>
      <c r="D14" s="4" t="inlineStr">
        <is>
          <t>กล่องคำพูดของ ศ. ดร.สมฤกษ์ ฤกษ์ณามระ ว่างเปล่า ไม่มีข้อความ</t>
        </is>
      </c>
      <c r="E14" s="4" t="inlineStr">
        <is>
          <t>ใส่คำพูด หรือนำกล่องออก</t>
        </is>
      </c>
      <c r="F14" s="5" t="inlineStr">
        <is>
          <t>รอแก้</t>
        </is>
      </c>
      <c r="G14" s="4" t="inlineStr"/>
    </row>
    <row r="15">
      <c r="A15" s="2" t="n">
        <v>14</v>
      </c>
      <c r="B15" s="2" t="n">
        <v>8</v>
      </c>
      <c r="C15" s="3" t="inlineStr">
        <is>
          <t>ต้องแก้ก่อนเผยแพร่</t>
        </is>
      </c>
      <c r="D15" s="4" t="inlineStr">
        <is>
          <t>กล่องคำพูดของ นายเจริญ ผู้สัมฤทธิ์เลิศ ว่างเปล่า ไม่มีข้อความ</t>
        </is>
      </c>
      <c r="E15" s="4" t="inlineStr">
        <is>
          <t>ใส่คำพูด หรือนำกล่องออก</t>
        </is>
      </c>
      <c r="F15" s="5" t="inlineStr">
        <is>
          <t>รอแก้</t>
        </is>
      </c>
      <c r="G15" s="4" t="inlineStr"/>
    </row>
    <row r="16">
      <c r="A16" s="10" t="n">
        <v>15</v>
      </c>
      <c r="B16" s="10" t="n">
        <v>8</v>
      </c>
      <c r="C16" s="11" t="inlineStr">
        <is>
          <t>ข้อสังเกต/ควรตรวจสอบ</t>
        </is>
      </c>
      <c r="D16" s="4" t="inlineStr">
        <is>
          <t>กราฟิกมุมขวาล่างคล้ายโลโก้ Messenger และถูกตัดขอบ (มุมซ้ายบนก็มีวงกลมสีเขียวโผล่)</t>
        </is>
      </c>
      <c r="E16" s="4" t="inlineStr">
        <is>
          <t>ตรวจว่าตั้งใจใช้หรือเป็นกราฟิกค้าง</t>
        </is>
      </c>
      <c r="F16" s="5" t="inlineStr">
        <is>
          <t>รอแก้</t>
        </is>
      </c>
      <c r="G16" s="4" t="inlineStr"/>
    </row>
    <row r="17">
      <c r="A17" s="2" t="n">
        <v>16</v>
      </c>
      <c r="B17" s="2" t="n">
        <v>9</v>
      </c>
      <c r="C17" s="3" t="inlineStr">
        <is>
          <t>ต้องแก้ก่อนเผยแพร่</t>
        </is>
      </c>
      <c r="D17" s="4" t="inlineStr">
        <is>
          <t>กล่องคำพูดของ นายโกมินทร์ ล้นปราชญา ว่างเปล่า</t>
        </is>
      </c>
      <c r="E17" s="4" t="inlineStr">
        <is>
          <t>ใส่คำพูด หรือนำกล่องออก</t>
        </is>
      </c>
      <c r="F17" s="5" t="inlineStr">
        <is>
          <t>รอแก้</t>
        </is>
      </c>
      <c r="G17" s="4" t="inlineStr"/>
    </row>
    <row r="18">
      <c r="A18" s="8" t="n">
        <v>17</v>
      </c>
      <c r="B18" s="8" t="n">
        <v>9</v>
      </c>
      <c r="C18" s="9" t="inlineStr">
        <is>
          <t>เว้นวรรค/ตัดคำ/จัดหน้า</t>
        </is>
      </c>
      <c r="D18" s="4" t="inlineStr">
        <is>
          <t>"ดร. สุรเดช" มีเว้นวรรคหลัง ดร. แต่ "ดร.ศุภมิตร" ไม่มี</t>
        </is>
      </c>
      <c r="E18" s="4" t="inlineStr">
        <is>
          <t>ใช้รูปแบบเดียวกันทั้งหน้า 9–10</t>
        </is>
      </c>
      <c r="F18" s="5" t="inlineStr">
        <is>
          <t>รอแก้</t>
        </is>
      </c>
      <c r="G18" s="4" t="inlineStr"/>
    </row>
    <row r="19">
      <c r="A19" s="8" t="n">
        <v>18</v>
      </c>
      <c r="B19" s="8" t="n">
        <v>9</v>
      </c>
      <c r="C19" s="9" t="inlineStr">
        <is>
          <t>เว้นวรรค/ตัดคำ/จัดหน้า</t>
        </is>
      </c>
      <c r="D19" s="4" t="inlineStr">
        <is>
          <t>ขนาดตัวอักษรในกล่องคำพูดไม่เท่ากัน (นายสุกิจ และ รศ.ศรัณย์ เล็กกว่าคนอื่น)</t>
        </is>
      </c>
      <c r="E19" s="4" t="inlineStr">
        <is>
          <t>ปรับขนาดให้เท่ากันทุกกล่อง</t>
        </is>
      </c>
      <c r="F19" s="5" t="inlineStr">
        <is>
          <t>รอแก้</t>
        </is>
      </c>
      <c r="G19" s="4" t="inlineStr"/>
    </row>
    <row r="20">
      <c r="A20" s="2" t="n">
        <v>19</v>
      </c>
      <c r="B20" s="2" t="n">
        <v>10</v>
      </c>
      <c r="C20" s="3" t="inlineStr">
        <is>
          <t>ต้องแก้ก่อนเผยแพร่</t>
        </is>
      </c>
      <c r="D20" s="4" t="inlineStr">
        <is>
          <t>คำพูดของ รศ. ดร.ธีรชัย อรุณเรืองศิริเลิศ ซ้ำกับคำพูดของ รศ. ดร.ศศิวิมล ด้านบนทุกคำ และใช้ "ดิฉัน" ทั้งที่ผู้พูดเป็นผู้ชาย</t>
        </is>
      </c>
      <c r="E20" s="4" t="inlineStr">
        <is>
          <t>ใส่คำพูดที่ถูกต้องของ รศ. ดร.ธีรชัย</t>
        </is>
      </c>
      <c r="F20" s="5" t="inlineStr">
        <is>
          <t>รอแก้</t>
        </is>
      </c>
      <c r="G20" s="4" t="inlineStr"/>
    </row>
    <row r="21">
      <c r="A21" s="8" t="n">
        <v>20</v>
      </c>
      <c r="B21" s="8" t="n">
        <v>10</v>
      </c>
      <c r="C21" s="9" t="inlineStr">
        <is>
          <t>เว้นวรรค/ตัดคำ/จัดหน้า</t>
        </is>
      </c>
      <c r="D21" s="4" t="inlineStr">
        <is>
          <t>คำพูดของ น.ส.สุภาณี ตัดคำ "เข้ม/แข็ง" ข้ามบรรทัด</t>
        </is>
      </c>
      <c r="E21" s="4" t="inlineStr">
        <is>
          <t>ขึ้นบรรทัดใหม่ทั้งคำ "เข้มแข็ง"</t>
        </is>
      </c>
      <c r="F21" s="5" t="inlineStr">
        <is>
          <t>รอแก้</t>
        </is>
      </c>
      <c r="G21" s="4" t="inlineStr"/>
    </row>
    <row r="22">
      <c r="A22" s="8" t="n">
        <v>21</v>
      </c>
      <c r="B22" s="8" t="n">
        <v>10</v>
      </c>
      <c r="C22" s="9" t="inlineStr">
        <is>
          <t>เว้นวรรค/ตัดคำ/จัดหน้า</t>
        </is>
      </c>
      <c r="D22" s="4" t="inlineStr">
        <is>
          <t>สติกเกอร์อีโมจิทับข้อความ footer "Issue 120"</t>
        </is>
      </c>
      <c r="E22" s="4" t="inlineStr">
        <is>
          <t>ขยับอีโมจิ</t>
        </is>
      </c>
      <c r="F22" s="5" t="inlineStr">
        <is>
          <t>รอแก้</t>
        </is>
      </c>
      <c r="G22" s="4" t="inlineStr"/>
    </row>
    <row r="23">
      <c r="A23" s="10" t="n">
        <v>22</v>
      </c>
      <c r="B23" s="10" t="n">
        <v>11</v>
      </c>
      <c r="C23" s="11" t="inlineStr">
        <is>
          <t>ข้อสังเกต/ควรตรวจสอบ</t>
        </is>
      </c>
      <c r="D23" s="4" t="inlineStr">
        <is>
          <t>การอ้างอิงในบทความเริ่มที่ [7] แล้วตามด้วย [3], [5], [2], [1], [6], [4] ไม่เรียงตามลำดับที่ปรากฏ และไม่พบรายการเอกสารอ้างอิงท้ายบทความ (อาจอยู่ในหน้าที่หายไป ดูหน้า 15–18)</t>
        </is>
      </c>
      <c r="E23" s="4" t="inlineStr">
        <is>
          <t>เรียงเลขอ้างอิงใหม่ และใส่รายการอ้างอิง</t>
        </is>
      </c>
      <c r="F23" s="5" t="inlineStr">
        <is>
          <t>รอแก้</t>
        </is>
      </c>
      <c r="G23" s="4" t="inlineStr"/>
    </row>
    <row r="24">
      <c r="A24" s="10" t="n">
        <v>23</v>
      </c>
      <c r="B24" s="10" t="n">
        <v>12</v>
      </c>
      <c r="C24" s="11" t="inlineStr">
        <is>
          <t>ข้อสังเกต/ควรตรวจสอบ</t>
        </is>
      </c>
      <c r="D24" s="4" t="inlineStr">
        <is>
          <t>ลำดับการอ่านสับสน: เนื้อหาหัวข้อ "ช่วยกัน: สร้างความร่วมมือในการร่วมสร้างสรรค์" (ซ้ายล่าง) ควรมาก่อนย่อหน้า "ดังนั้นการปฏิรูปธุรกิจจึงต้องเป็นการร่วมสร้างสรรค์" (ขวาบน)</t>
        </is>
      </c>
      <c r="E24" s="4" t="inlineStr">
        <is>
          <t>ตรวจลำดับคอลัมน์/ย้ายย่อหน้าให้อ่านต่อเนื่อง</t>
        </is>
      </c>
      <c r="F24" s="5" t="inlineStr">
        <is>
          <t>รอแก้</t>
        </is>
      </c>
      <c r="G24" s="4" t="inlineStr"/>
    </row>
    <row r="25">
      <c r="A25" s="6" t="n">
        <v>24</v>
      </c>
      <c r="B25" s="6" t="n">
        <v>14</v>
      </c>
      <c r="C25" s="7" t="inlineStr">
        <is>
          <t>คำผิด/ข้อความผิด</t>
        </is>
      </c>
      <c r="D25" s="4" t="inlineStr">
        <is>
          <t>"ระบุแนวโน้มสำคัญกว่าบทบาทแบบดั้งเดิม..." อ่านแล้วความหมายผิด</t>
        </is>
      </c>
      <c r="E25" s="4" t="inlineStr">
        <is>
          <t>แก้เป็น "ระบุแนวโน้มสำคัญว่า บทบาทแบบดั้งเดิม..."</t>
        </is>
      </c>
      <c r="F25" s="5" t="inlineStr">
        <is>
          <t>รอแก้</t>
        </is>
      </c>
      <c r="G25" s="4" t="inlineStr"/>
    </row>
    <row r="26">
      <c r="A26" s="6" t="n">
        <v>25</v>
      </c>
      <c r="B26" s="6" t="n">
        <v>14</v>
      </c>
      <c r="C26" s="7" t="inlineStr">
        <is>
          <t>คำผิด/ข้อความผิด</t>
        </is>
      </c>
      <c r="D26" s="4" t="inlineStr">
        <is>
          <t>หัวข้อ "2. ผู้ดูแลข้อมูล (Data Steward) AI" มีคำว่า "AI" เกินมา</t>
        </is>
      </c>
      <c r="E26" s="4" t="inlineStr">
        <is>
          <t>ลบ "AI" ท้ายหัวข้อ</t>
        </is>
      </c>
      <c r="F26" s="5" t="inlineStr">
        <is>
          <t>รอแก้</t>
        </is>
      </c>
      <c r="G26" s="4" t="inlineStr"/>
    </row>
    <row r="27">
      <c r="A27" s="2" t="n">
        <v>26</v>
      </c>
      <c r="B27" s="2" t="n">
        <v>14</v>
      </c>
      <c r="C27" s="3" t="inlineStr">
        <is>
          <t>ต้องแก้ก่อนเผยแพร่</t>
        </is>
      </c>
      <c r="D27" s="4" t="inlineStr">
        <is>
          <t>ระบุว่าบทบาทใหม่ "อย่างน้อย 5 ด้าน" แต่แสดงแค่ข้อ 1–2 แล้วบทความจบ (หน้า 15–18 กลายเป็นหน้า 11 ซ้ำ)</t>
        </is>
      </c>
      <c r="E27" s="4" t="inlineStr">
        <is>
          <t>ใส่เนื้อหาข้อ 3–5 และส่วนที่เหลือของบทความ</t>
        </is>
      </c>
      <c r="F27" s="5" t="inlineStr">
        <is>
          <t>รอแก้</t>
        </is>
      </c>
      <c r="G27" s="4" t="inlineStr"/>
    </row>
    <row r="28">
      <c r="A28" s="10" t="n">
        <v>27</v>
      </c>
      <c r="B28" s="10" t="n">
        <v>14</v>
      </c>
      <c r="C28" s="11" t="inlineStr">
        <is>
          <t>ข้อสังเกต/ควรตรวจสอบ</t>
        </is>
      </c>
      <c r="D28" s="4" t="inlineStr">
        <is>
          <t>ภาพแผนภาพรูปที่ 1 ความละเอียดต่ำ ตัวอักษรไทยเล็ก ๆ ในวงกลมเบลอ อ่านยาก</t>
        </is>
      </c>
      <c r="E28" s="4" t="inlineStr">
        <is>
          <t>ใช้ไฟล์ภาพความละเอียดสูง/วาดใหม่เป็นเวกเตอร์</t>
        </is>
      </c>
      <c r="F28" s="5" t="inlineStr">
        <is>
          <t>รอแก้</t>
        </is>
      </c>
      <c r="G28" s="4" t="inlineStr"/>
    </row>
    <row r="29">
      <c r="A29" s="2" t="n">
        <v>28</v>
      </c>
      <c r="B29" s="2" t="n">
        <v>15</v>
      </c>
      <c r="C29" s="3" t="inlineStr">
        <is>
          <t>ต้องแก้ก่อนเผยแพร่</t>
        </is>
      </c>
      <c r="D29" s="4" t="inlineStr">
        <is>
          <t>หน้า 15 เป็นหน้าซ้ำของหน้า 11 ทั้งหน้า (เนื้อหาเหมือนกันทุกบรรทัด)</t>
        </is>
      </c>
      <c r="E29" s="4" t="inlineStr">
        <is>
          <t>ใส่เนื้อหาหน้าที่ถูกต้องของบทความ</t>
        </is>
      </c>
      <c r="F29" s="5" t="inlineStr">
        <is>
          <t>รอแก้</t>
        </is>
      </c>
      <c r="G29" s="4" t="inlineStr"/>
    </row>
    <row r="30">
      <c r="A30" s="2" t="n">
        <v>29</v>
      </c>
      <c r="B30" s="2" t="n">
        <v>16</v>
      </c>
      <c r="C30" s="3" t="inlineStr">
        <is>
          <t>ต้องแก้ก่อนเผยแพร่</t>
        </is>
      </c>
      <c r="D30" s="4" t="inlineStr">
        <is>
          <t>หน้า 16 เป็นหน้าซ้ำของหน้า 11 ทั้งหน้า</t>
        </is>
      </c>
      <c r="E30" s="4" t="inlineStr">
        <is>
          <t>ใส่เนื้อหาหน้าที่ถูกต้อง</t>
        </is>
      </c>
      <c r="F30" s="5" t="inlineStr">
        <is>
          <t>รอแก้</t>
        </is>
      </c>
      <c r="G30" s="4" t="inlineStr"/>
    </row>
    <row r="31">
      <c r="A31" s="2" t="n">
        <v>30</v>
      </c>
      <c r="B31" s="2" t="n">
        <v>17</v>
      </c>
      <c r="C31" s="3" t="inlineStr">
        <is>
          <t>ต้องแก้ก่อนเผยแพร่</t>
        </is>
      </c>
      <c r="D31" s="4" t="inlineStr">
        <is>
          <t>หน้า 17 เป็นหน้าซ้ำของหน้า 11 ทั้งหน้า</t>
        </is>
      </c>
      <c r="E31" s="4" t="inlineStr">
        <is>
          <t>ใส่เนื้อหาหน้าที่ถูกต้อง</t>
        </is>
      </c>
      <c r="F31" s="5" t="inlineStr">
        <is>
          <t>รอแก้</t>
        </is>
      </c>
      <c r="G31" s="4" t="inlineStr"/>
    </row>
    <row r="32">
      <c r="A32" s="2" t="n">
        <v>31</v>
      </c>
      <c r="B32" s="2" t="n">
        <v>18</v>
      </c>
      <c r="C32" s="3" t="inlineStr">
        <is>
          <t>ต้องแก้ก่อนเผยแพร่</t>
        </is>
      </c>
      <c r="D32" s="4" t="inlineStr">
        <is>
          <t>หน้า 18 เป็นหน้าซ้ำของหน้า 11 ทั้งหน้า</t>
        </is>
      </c>
      <c r="E32" s="4" t="inlineStr">
        <is>
          <t>ใส่เนื้อหาหน้าที่ถูกต้อง</t>
        </is>
      </c>
      <c r="F32" s="5" t="inlineStr">
        <is>
          <t>รอแก้</t>
        </is>
      </c>
      <c r="G32" s="4" t="inlineStr"/>
    </row>
    <row r="33">
      <c r="A33" s="6" t="n">
        <v>32</v>
      </c>
      <c r="B33" s="6" t="n">
        <v>19</v>
      </c>
      <c r="C33" s="7" t="inlineStr">
        <is>
          <t>คำผิด/ข้อความผิด</t>
        </is>
      </c>
      <c r="D33" s="4" t="inlineStr">
        <is>
          <t>"วารสารสภาวิชาชีบัญชี" ตกตัว พ</t>
        </is>
      </c>
      <c r="E33" s="4" t="inlineStr">
        <is>
          <t>แก้เป็น "วารสารสภาวิชาชีพบัญชี" (และพิจารณาใช้ "จดหมายข่าว" ให้ตรงชื่อสิ่งพิมพ์)</t>
        </is>
      </c>
      <c r="F33" s="5" t="inlineStr">
        <is>
          <t>รอแก้</t>
        </is>
      </c>
      <c r="G33" s="4" t="inlineStr"/>
    </row>
    <row r="34">
      <c r="A34" s="8" t="n">
        <v>33</v>
      </c>
      <c r="B34" s="8" t="n">
        <v>19</v>
      </c>
      <c r="C34" s="9" t="inlineStr">
        <is>
          <t>เว้นวรรค/ตัดคำ/จัดหน้า</t>
        </is>
      </c>
      <c r="D34" s="4" t="inlineStr">
        <is>
          <t>"(Artificial Intelligence : AI)" มีเว้นวรรคก่อนโคลอน</t>
        </is>
      </c>
      <c r="E34" s="4" t="inlineStr">
        <is>
          <t>เป็น "(Artificial Intelligence: AI)"</t>
        </is>
      </c>
      <c r="F34" s="5" t="inlineStr">
        <is>
          <t>รอแก้</t>
        </is>
      </c>
      <c r="G34" s="4" t="inlineStr"/>
    </row>
    <row r="35">
      <c r="A35" s="8" t="n">
        <v>34</v>
      </c>
      <c r="B35" s="8" t="n">
        <v>19</v>
      </c>
      <c r="C35" s="9" t="inlineStr">
        <is>
          <t>เว้นวรรค/ตัดคำ/จัดหน้า</t>
        </is>
      </c>
      <c r="D35" s="4" t="inlineStr">
        <is>
          <t>รูปแบบชื่อผู้พูดไม่เหมือนกัน: "นายบัญชี :" (เว้นก่อนโคลอน) vs "คุณชาริตา:" (ไม่เว้น)</t>
        </is>
      </c>
      <c r="E35" s="4" t="inlineStr">
        <is>
          <t>ใช้รูปแบบเดียวกัน เช่น "นายบัญชี:"</t>
        </is>
      </c>
      <c r="F35" s="5" t="inlineStr">
        <is>
          <t>รอแก้</t>
        </is>
      </c>
      <c r="G35" s="4" t="inlineStr"/>
    </row>
    <row r="36">
      <c r="A36" s="8" t="n">
        <v>35</v>
      </c>
      <c r="B36" s="8" t="n">
        <v>19</v>
      </c>
      <c r="C36" s="9" t="inlineStr">
        <is>
          <t>เว้นวรรค/ตัดคำ/จัดหน้า</t>
        </is>
      </c>
      <c r="D36" s="4" t="inlineStr">
        <is>
          <t>ย่อหน้าเปิดบทความ: ฟอนต์/ความหนาของบรรทัดแรกต่างจากบรรทัดถัดไป</t>
        </is>
      </c>
      <c r="E36" s="4" t="inlineStr">
        <is>
          <t>ใช้ฟอนต์และน้ำหนักเดียวกันทั้งย่อหน้า</t>
        </is>
      </c>
      <c r="F36" s="5" t="inlineStr">
        <is>
          <t>รอแก้</t>
        </is>
      </c>
      <c r="G36" s="4" t="inlineStr"/>
    </row>
    <row r="37">
      <c r="A37" s="6" t="n">
        <v>36</v>
      </c>
      <c r="B37" s="6" t="n">
        <v>21</v>
      </c>
      <c r="C37" s="7" t="inlineStr">
        <is>
          <t>คำผิด/ข้อความผิด</t>
        </is>
      </c>
      <c r="D37" s="4" t="inlineStr">
        <is>
          <t>คำตอบเริ่มด้วย "เชื่อมโยง”" มีแต่เครื่องหมายปิดคำพูด ขาด “ เปิด</t>
        </is>
      </c>
      <c r="E37" s="4" t="inlineStr">
        <is>
          <t>เป็น "“เชื่อมโยง” คือ..."</t>
        </is>
      </c>
      <c r="F37" s="5" t="inlineStr">
        <is>
          <t>รอแก้</t>
        </is>
      </c>
      <c r="G37" s="4" t="inlineStr"/>
    </row>
    <row r="38">
      <c r="A38" s="6" t="n">
        <v>37</v>
      </c>
      <c r="B38" s="6" t="n">
        <v>21</v>
      </c>
      <c r="C38" s="7" t="inlineStr">
        <is>
          <t>คำผิด/ข้อความผิด</t>
        </is>
      </c>
      <c r="D38" s="4" t="inlineStr">
        <is>
          <t>"...แต่คือ “การใช้ข้อมูลที่เหมาะสมเพื่อช่วยให้องค์กรตัดสินใจได้" ขาด ” ปิด</t>
        </is>
      </c>
      <c r="E38" s="4" t="inlineStr">
        <is>
          <t>เติม ” ปิดคำพูด</t>
        </is>
      </c>
      <c r="F38" s="5" t="inlineStr">
        <is>
          <t>รอแก้</t>
        </is>
      </c>
      <c r="G38" s="4" t="inlineStr"/>
    </row>
    <row r="39">
      <c r="A39" s="10" t="n">
        <v>38</v>
      </c>
      <c r="B39" s="10" t="n">
        <v>21</v>
      </c>
      <c r="C39" s="11" t="inlineStr">
        <is>
          <t>ข้อสังเกต/ควรตรวจสอบ</t>
        </is>
      </c>
      <c r="D39" s="4" t="inlineStr">
        <is>
          <t>ไดอะแกรม Data → Information → Insight → Business Value → Decision → Intelligence ลำดับดูสลับ (Decision ควรมาก่อน Business Value?)</t>
        </is>
      </c>
      <c r="E39" s="4" t="inlineStr">
        <is>
          <t>ตรวจลำดับลูกศรกับผู้เขียน</t>
        </is>
      </c>
      <c r="F39" s="5" t="inlineStr">
        <is>
          <t>รอแก้</t>
        </is>
      </c>
      <c r="G39" s="4" t="inlineStr"/>
    </row>
    <row r="40">
      <c r="A40" s="8" t="n">
        <v>39</v>
      </c>
      <c r="B40" s="8" t="n">
        <v>22</v>
      </c>
      <c r="C40" s="9" t="inlineStr">
        <is>
          <t>เว้นวรรค/ตัดคำ/จัดหน้า</t>
        </is>
      </c>
      <c r="D40" s="4" t="inlineStr">
        <is>
          <t>"3 คำสั้นๆ" ไม่เว้นวรรคหน้าไม้ยมก (ที่อื่นในเล่มใช้ "ต่าง ๆ")</t>
        </is>
      </c>
      <c r="E40" s="4" t="inlineStr">
        <is>
          <t>เป็น "3 คำสั้น ๆ"</t>
        </is>
      </c>
      <c r="F40" s="5" t="inlineStr">
        <is>
          <t>รอแก้</t>
        </is>
      </c>
      <c r="G40" s="4" t="inlineStr"/>
    </row>
    <row r="41">
      <c r="A41" s="8" t="n">
        <v>40</v>
      </c>
      <c r="B41" s="8" t="n">
        <v>22</v>
      </c>
      <c r="C41" s="9" t="inlineStr">
        <is>
          <t>เว้นวรรค/ตัดคำ/จัดหน้า</t>
        </is>
      </c>
      <c r="D41" s="4" t="inlineStr">
        <is>
          <t>ข้อความปิดท้าย/บางย่อหน้าใช้ฟอนต์ปนกันในย่อหน้าเดียว</t>
        </is>
      </c>
      <c r="E41" s="4" t="inlineStr">
        <is>
          <t>ตรวจ style ฟอนต์ให้ตรงกัน</t>
        </is>
      </c>
      <c r="F41" s="5" t="inlineStr">
        <is>
          <t>รอแก้</t>
        </is>
      </c>
      <c r="G41" s="4" t="inlineStr"/>
    </row>
    <row r="42">
      <c r="A42" s="8" t="n">
        <v>41</v>
      </c>
      <c r="B42" s="8" t="n">
        <v>23</v>
      </c>
      <c r="C42" s="9" t="inlineStr">
        <is>
          <t>เว้นวรรค/ตัดคำ/จัดหน้า</t>
        </is>
      </c>
      <c r="D42" s="4" t="inlineStr">
        <is>
          <t>"TSA570 (GoingConcern)" ตัวอักษรอัดจนช่องว่างหาย</t>
        </is>
      </c>
      <c r="E42" s="4" t="inlineStr">
        <is>
          <t>เป็น "TSA 570 (Going Concern)"</t>
        </is>
      </c>
      <c r="F42" s="5" t="inlineStr">
        <is>
          <t>รอแก้</t>
        </is>
      </c>
      <c r="G42" s="4" t="inlineStr"/>
    </row>
    <row r="43">
      <c r="A43" s="8" t="n">
        <v>42</v>
      </c>
      <c r="B43" s="8" t="n">
        <v>23</v>
      </c>
      <c r="C43" s="9" t="inlineStr">
        <is>
          <t>เว้นวรรค/ตัดคำ/จัดหน้า</t>
        </is>
      </c>
      <c r="D43" s="4" t="inlineStr">
        <is>
          <t>ตัดคำ "เหมาะ/สม" ข้ามบรรทัด</t>
        </is>
      </c>
      <c r="E43" s="4" t="inlineStr">
        <is>
          <t>ให้ "เหมาะสม" อยู่บรรทัดเดียวกัน</t>
        </is>
      </c>
      <c r="F43" s="5" t="inlineStr">
        <is>
          <t>รอแก้</t>
        </is>
      </c>
      <c r="G43" s="4" t="inlineStr"/>
    </row>
    <row r="44">
      <c r="A44" s="8" t="n">
        <v>43</v>
      </c>
      <c r="B44" s="8" t="n">
        <v>23</v>
      </c>
      <c r="C44" s="9" t="inlineStr">
        <is>
          <t>เว้นวรรค/ตัดคำ/จัดหน้า</t>
        </is>
      </c>
      <c r="D44" s="4" t="inlineStr">
        <is>
          <t>บรรทัด "ปัจจัยที่ส่งผลกระทบต่อคุณภาพงาน" ตัวอักษรถูกยืดห่าง</t>
        </is>
      </c>
      <c r="E44" s="4" t="inlineStr">
        <is>
          <t>ปรับ justification</t>
        </is>
      </c>
      <c r="F44" s="5" t="inlineStr">
        <is>
          <t>รอแก้</t>
        </is>
      </c>
      <c r="G44" s="4" t="inlineStr"/>
    </row>
    <row r="45">
      <c r="A45" s="8" t="n">
        <v>44</v>
      </c>
      <c r="B45" s="8" t="n">
        <v>23</v>
      </c>
      <c r="C45" s="9" t="inlineStr">
        <is>
          <t>เว้นวรรค/ตัดคำ/จัดหน้า</t>
        </is>
      </c>
      <c r="D45" s="4" t="inlineStr">
        <is>
          <t>หัวข้อใช้ "เชื่อมั่น :" และ "ช่วยกัน :" (เว้นก่อนโคลอน) แต่หน้า 24 ใช้ "เชื่อมโยง:"</t>
        </is>
      </c>
      <c r="E45" s="4" t="inlineStr">
        <is>
          <t>ใช้รูปแบบเดียวกันทั้ง 3 หัวข้อ</t>
        </is>
      </c>
      <c r="F45" s="5" t="inlineStr">
        <is>
          <t>รอแก้</t>
        </is>
      </c>
      <c r="G45" s="4" t="inlineStr"/>
    </row>
    <row r="46">
      <c r="A46" s="8" t="n">
        <v>45</v>
      </c>
      <c r="B46" s="8" t="n">
        <v>24</v>
      </c>
      <c r="C46" s="9" t="inlineStr">
        <is>
          <t>เว้นวรรค/ตัดคำ/จัดหน้า</t>
        </is>
      </c>
      <c r="D46" s="4" t="inlineStr">
        <is>
          <t>"ผู้สอบบัญชี  เช่น" เว้นวรรค 2 ช่อง</t>
        </is>
      </c>
      <c r="E46" s="4" t="inlineStr">
        <is>
          <t>เหลือ 1 ช่อง</t>
        </is>
      </c>
      <c r="F46" s="5" t="inlineStr">
        <is>
          <t>รอแก้</t>
        </is>
      </c>
      <c r="G46" s="4" t="inlineStr"/>
    </row>
    <row r="47">
      <c r="A47" s="8" t="n">
        <v>46</v>
      </c>
      <c r="B47" s="8" t="n">
        <v>24</v>
      </c>
      <c r="C47" s="9" t="inlineStr">
        <is>
          <t>เว้นวรรค/ตัดคำ/จัดหน้า</t>
        </is>
      </c>
      <c r="D47" s="4" t="inlineStr">
        <is>
          <t>ข้อความในกล่อง (TSA for LCE/NPAE และ Community) ตัวอักษรยืดห่างผิดปกติ</t>
        </is>
      </c>
      <c r="E47" s="4" t="inlineStr">
        <is>
          <t>ปรับ letter-spacing</t>
        </is>
      </c>
      <c r="F47" s="5" t="inlineStr">
        <is>
          <t>รอแก้</t>
        </is>
      </c>
      <c r="G47" s="4" t="inlineStr"/>
    </row>
    <row r="48">
      <c r="A48" s="8" t="n">
        <v>47</v>
      </c>
      <c r="B48" s="8" t="n">
        <v>25</v>
      </c>
      <c r="C48" s="9" t="inlineStr">
        <is>
          <t>เว้นวรรค/ตัดคำ/จัดหน้า</t>
        </is>
      </c>
      <c r="D48" s="4" t="inlineStr">
        <is>
          <t>"Digital Audit Hub  ตลอดจน" เว้นวรรค 2 ช่อง</t>
        </is>
      </c>
      <c r="E48" s="4" t="inlineStr">
        <is>
          <t>เหลือ 1 ช่อง</t>
        </is>
      </c>
      <c r="F48" s="5" t="inlineStr">
        <is>
          <t>รอแก้</t>
        </is>
      </c>
      <c r="G48" s="4" t="inlineStr"/>
    </row>
    <row r="49">
      <c r="A49" s="8" t="n">
        <v>48</v>
      </c>
      <c r="B49" s="8" t="n">
        <v>25</v>
      </c>
      <c r="C49" s="9" t="inlineStr">
        <is>
          <t>เว้นวรรค/ตัดคำ/จัดหน้า</t>
        </is>
      </c>
      <c r="D49" s="4" t="inlineStr">
        <is>
          <t>กล่องคำกล่าวปิดท้าย 2 บรรทัดแรกตัวอักษรยืดห่าง</t>
        </is>
      </c>
      <c r="E49" s="4" t="inlineStr">
        <is>
          <t>ปรับ letter-spacing</t>
        </is>
      </c>
      <c r="F49" s="5" t="inlineStr">
        <is>
          <t>รอแก้</t>
        </is>
      </c>
      <c r="G49" s="4" t="inlineStr"/>
    </row>
    <row r="50">
      <c r="A50" s="6" t="n">
        <v>49</v>
      </c>
      <c r="B50" s="6" t="n">
        <v>25</v>
      </c>
      <c r="C50" s="7" t="inlineStr">
        <is>
          <t>คำผิด/ข้อความผิด</t>
        </is>
      </c>
      <c r="D50" s="4" t="inlineStr">
        <is>
          <t>ท้ายคำกล่าวมีเครื่องหมาย ” ที่เป็นตัวพิมพ์ ซ้ำกับเครื่องหมายคำพูดกราฟิกตัวใหญ่</t>
        </is>
      </c>
      <c r="E50" s="4" t="inlineStr">
        <is>
          <t>ลบอย่างใดอย่างหนึ่ง และตรวจว่ามี “ เปิดคู่กัน</t>
        </is>
      </c>
      <c r="F50" s="5" t="inlineStr">
        <is>
          <t>รอแก้</t>
        </is>
      </c>
      <c r="G50" s="4" t="inlineStr"/>
    </row>
    <row r="51">
      <c r="A51" s="8" t="n">
        <v>50</v>
      </c>
      <c r="B51" s="8" t="n">
        <v>26</v>
      </c>
      <c r="C51" s="9" t="inlineStr">
        <is>
          <t>เว้นวรรค/ตัดคำ/จัดหน้า</t>
        </is>
      </c>
      <c r="D51" s="4" t="inlineStr">
        <is>
          <t>บทสรุปผู้บริหาร: บรรทัดแรกฟอนต์ต่างจากบรรทัดถัดไป</t>
        </is>
      </c>
      <c r="E51" s="4" t="inlineStr">
        <is>
          <t>ใช้ฟอนต์เดียวกัน</t>
        </is>
      </c>
      <c r="F51" s="5" t="inlineStr">
        <is>
          <t>รอแก้</t>
        </is>
      </c>
      <c r="G51" s="4" t="inlineStr"/>
    </row>
    <row r="52">
      <c r="A52" s="10" t="n">
        <v>51</v>
      </c>
      <c r="B52" s="10" t="n">
        <v>26</v>
      </c>
      <c r="C52" s="11" t="inlineStr">
        <is>
          <t>ข้อสังเกต/ควรตรวจสอบ</t>
        </is>
      </c>
      <c r="D52" s="4" t="inlineStr">
        <is>
          <t>ไอคอน "แนวคิด TDABC" ไม่มีชื่อเต็ม ขณะที่ไอคอนอื่นมีวงเล็บภาษาอังกฤษ</t>
        </is>
      </c>
      <c r="E52" s="4" t="inlineStr">
        <is>
          <t>เพิ่ม (Time-Driven Activity-Based Costing)</t>
        </is>
      </c>
      <c r="F52" s="5" t="inlineStr">
        <is>
          <t>รอแก้</t>
        </is>
      </c>
      <c r="G52" s="4" t="inlineStr"/>
    </row>
    <row r="53">
      <c r="A53" s="8" t="n">
        <v>52</v>
      </c>
      <c r="B53" s="8" t="n">
        <v>27</v>
      </c>
      <c r="C53" s="9" t="inlineStr">
        <is>
          <t>เว้นวรรค/ตัดคำ/จัดหน้า</t>
        </is>
      </c>
      <c r="D53" s="4" t="inlineStr">
        <is>
          <t>"เห็นภาพสะท้อน ของแรงกดดัน" มีเว้นวรรคเกิน และ "ต่างๆ" ไม่เว้นหน้า ๆ</t>
        </is>
      </c>
      <c r="E53" s="4" t="inlineStr">
        <is>
          <t>เป็น "เห็นภาพสะท้อนของแรงกดดันในมิติต่าง ๆ"</t>
        </is>
      </c>
      <c r="F53" s="5" t="inlineStr">
        <is>
          <t>รอแก้</t>
        </is>
      </c>
      <c r="G53" s="4" t="inlineStr"/>
    </row>
    <row r="54">
      <c r="A54" s="10" t="n">
        <v>53</v>
      </c>
      <c r="B54" s="10" t="n">
        <v>27</v>
      </c>
      <c r="C54" s="11" t="inlineStr">
        <is>
          <t>ข้อสังเกต/ควรตรวจสอบ</t>
        </is>
      </c>
      <c r="D54" s="4" t="inlineStr">
        <is>
          <t>ตารางในบทความไม่มีชื่อ/เลขตาราง แต่หน้า 31 อ้างถึง "ตารางที่ 4"</t>
        </is>
      </c>
      <c r="E54" s="4" t="inlineStr">
        <is>
          <t>ใส่ชื่อตารางที่ 1–4 ให้ครบและเรียงลำดับ</t>
        </is>
      </c>
      <c r="F54" s="5" t="inlineStr">
        <is>
          <t>รอแก้</t>
        </is>
      </c>
      <c r="G54" s="4" t="inlineStr"/>
    </row>
    <row r="55">
      <c r="A55" s="2" t="n">
        <v>54</v>
      </c>
      <c r="B55" s="2" t="n">
        <v>28</v>
      </c>
      <c r="C55" s="3" t="inlineStr">
        <is>
          <t>ต้องแก้ก่อนเผยแพร่</t>
        </is>
      </c>
      <c r="D55" s="4" t="inlineStr">
        <is>
          <t>ภาพที่ 1 สร้างจาก AI มีข้อความภาษาอังกฤษผิด/ไร้ความหมายจำนวนมาก เช่น "ecoriing", "incranity", "renirvations", "anonim", "pronrams", "Modular modular" และตัวเลข "+330,000 THB" ไม่ตรงกับเนื้อหา (+138,000/+290,000)</t>
        </is>
      </c>
      <c r="E55" s="4" t="inlineStr">
        <is>
          <t>ทำภาพใหม่ หรือแก้ข้อความ/ตัวเลขในภาพให้ถูกต้อง</t>
        </is>
      </c>
      <c r="F55" s="5" t="inlineStr">
        <is>
          <t>รอแก้</t>
        </is>
      </c>
      <c r="G55" s="4" t="inlineStr"/>
    </row>
    <row r="56">
      <c r="A56" s="2" t="n">
        <v>55</v>
      </c>
      <c r="B56" s="2" t="n">
        <v>29</v>
      </c>
      <c r="C56" s="3" t="inlineStr">
        <is>
          <t>ต้องแก้ก่อนเผยแพร่</t>
        </is>
      </c>
      <c r="D56" s="4" t="inlineStr">
        <is>
          <t>ตารางที่ 2: หัวคอลัมน์ 2 และ 3 ซ้ำกัน "ลักษณะและตัวผลักดันต้นทุน (Cost Drivers)"</t>
        </is>
      </c>
      <c r="E56" s="4" t="inlineStr">
        <is>
          <t>คอลัมน์ 3 น่าจะเป็น "แนวทางบริหาร/การจัดการ"</t>
        </is>
      </c>
      <c r="F56" s="5" t="inlineStr">
        <is>
          <t>รอแก้</t>
        </is>
      </c>
      <c r="G56" s="4" t="inlineStr"/>
    </row>
    <row r="57">
      <c r="A57" s="8" t="n">
        <v>56</v>
      </c>
      <c r="B57" s="8" t="n">
        <v>29</v>
      </c>
      <c r="C57" s="9" t="inlineStr">
        <is>
          <t>เว้นวรรค/ตัดคำ/จัดหน้า</t>
        </is>
      </c>
      <c r="D57" s="4" t="inlineStr">
        <is>
          <t>"เรียน(Batch Level)" ไม่เว้นวรรคก่อนวงเล็บ</t>
        </is>
      </c>
      <c r="E57" s="4" t="inlineStr">
        <is>
          <t>เป็น "เรียน (Batch Level)"</t>
        </is>
      </c>
      <c r="F57" s="5" t="inlineStr">
        <is>
          <t>รอแก้</t>
        </is>
      </c>
      <c r="G57" s="4" t="inlineStr"/>
    </row>
    <row r="58">
      <c r="A58" s="8" t="n">
        <v>57</v>
      </c>
      <c r="B58" s="8" t="n">
        <v>29</v>
      </c>
      <c r="C58" s="9" t="inlineStr">
        <is>
          <t>เว้นวรรค/ตัดคำ/จัดหน้า</t>
        </is>
      </c>
      <c r="D58" s="4" t="inlineStr">
        <is>
          <t>ข้อความในตาราง เช่น "ประหยัดรายจ่ายหลีกเลี่ยงได้", "(Common Core) และทบทวน" ตัวอักษรยืดห่างมาก</t>
        </is>
      </c>
      <c r="E58" s="4" t="inlineStr">
        <is>
          <t>ปรับ letter-spacing / ตัดคำ</t>
        </is>
      </c>
      <c r="F58" s="5" t="inlineStr">
        <is>
          <t>รอแก้</t>
        </is>
      </c>
      <c r="G58" s="4" t="inlineStr"/>
    </row>
    <row r="59">
      <c r="A59" s="6" t="n">
        <v>58</v>
      </c>
      <c r="B59" s="6" t="n">
        <v>30</v>
      </c>
      <c r="C59" s="7" t="inlineStr">
        <is>
          <t>คำผิด/ข้อความผิด</t>
        </is>
      </c>
      <c r="D59" s="4" t="inlineStr">
        <is>
          <t>"ค่าธรรมเนียมการศึกษาเรียนสุทธิ" คำซ้อนเกิน</t>
        </is>
      </c>
      <c r="E59" s="4" t="inlineStr">
        <is>
          <t>เป็น "ค่าธรรมเนียมการศึกษาสุทธิ"</t>
        </is>
      </c>
      <c r="F59" s="5" t="inlineStr">
        <is>
          <t>รอแก้</t>
        </is>
      </c>
      <c r="G59" s="4" t="inlineStr"/>
    </row>
    <row r="60">
      <c r="A60" s="10" t="n">
        <v>59</v>
      </c>
      <c r="B60" s="10" t="n">
        <v>30</v>
      </c>
      <c r="C60" s="11" t="inlineStr">
        <is>
          <t>ข้อสังเกต/ควรตรวจสอบ</t>
        </is>
      </c>
      <c r="D60" s="4" t="inlineStr">
        <is>
          <t>"ขาดทุนทันที -152,000 บาทต่อปี" ใช้คำว่าขาดทุนคู่กับเครื่องหมายลบ อ่านเหมือนลบซ้อน</t>
        </is>
      </c>
      <c r="E60" s="4" t="inlineStr">
        <is>
          <t>เป็น "ขาดทุนทันที 152,000 บาทต่อปี" หรือ "(152,000)"</t>
        </is>
      </c>
      <c r="F60" s="5" t="inlineStr">
        <is>
          <t>รอแก้</t>
        </is>
      </c>
      <c r="G60" s="4" t="inlineStr"/>
    </row>
    <row r="61">
      <c r="A61" s="10" t="n">
        <v>60</v>
      </c>
      <c r="B61" s="10" t="n">
        <v>31</v>
      </c>
      <c r="C61" s="11" t="inlineStr">
        <is>
          <t>ข้อสังเกต/ควรตรวจสอบ</t>
        </is>
      </c>
      <c r="D61" s="4" t="inlineStr">
        <is>
          <t>"แม้เงินเดือนอาจารย์ประจำ 1.2 ล้านบาท..." แต่หน้า 30 ตัวเลข 1.2 ล้านบาท คือต้นทุนคงที่รวม (เงินเดือน+ค่าเสื่อม)</t>
        </is>
      </c>
      <c r="E61" s="4" t="inlineStr">
        <is>
          <t>ตรวจตัวเลข/ถ้อยคำให้ตรงกัน</t>
        </is>
      </c>
      <c r="F61" s="5" t="inlineStr">
        <is>
          <t>รอแก้</t>
        </is>
      </c>
      <c r="G61" s="4" t="inlineStr"/>
    </row>
    <row r="62">
      <c r="A62" s="10" t="n">
        <v>61</v>
      </c>
      <c r="B62" s="10" t="n">
        <v>31</v>
      </c>
      <c r="C62" s="11" t="inlineStr">
        <is>
          <t>ข้อสังเกต/ควรตรวจสอบ</t>
        </is>
      </c>
      <c r="D62" s="4" t="inlineStr">
        <is>
          <t>อ้างถึง "ตารางที่ 4" แต่ตารางก่อนหน้าไม่มีเลขกำกับ; ตัวเลขในตารางขนาดฟอนต์ไม่เท่ากัน (300,000 ใหญ่กว่า 40,000)</t>
        </is>
      </c>
      <c r="E62" s="4" t="inlineStr">
        <is>
          <t>ใส่เลขตารางให้ครบ และจัดฟอนต์ตัวเลขให้เท่ากัน</t>
        </is>
      </c>
      <c r="F62" s="5" t="inlineStr">
        <is>
          <t>รอแก้</t>
        </is>
      </c>
      <c r="G62" s="4" t="inlineStr"/>
    </row>
    <row r="63">
      <c r="A63" s="8" t="n">
        <v>62</v>
      </c>
      <c r="B63" s="8" t="n">
        <v>31</v>
      </c>
      <c r="C63" s="9" t="inlineStr">
        <is>
          <t>เว้นวรรค/ตัดคำ/จัดหน้า</t>
        </is>
      </c>
      <c r="D63" s="4" t="inlineStr">
        <is>
          <t>กราฟภาพที่ 2: ป้ายตัวเลข -152,000 ทับแกน/เส้นกราฟ</t>
        </is>
      </c>
      <c r="E63" s="4" t="inlineStr">
        <is>
          <t>ขยับป้ายตัวเลข</t>
        </is>
      </c>
      <c r="F63" s="5" t="inlineStr">
        <is>
          <t>รอแก้</t>
        </is>
      </c>
      <c r="G63" s="4" t="inlineStr"/>
    </row>
    <row r="64">
      <c r="A64" s="8" t="n">
        <v>63</v>
      </c>
      <c r="B64" s="8" t="n">
        <v>33</v>
      </c>
      <c r="C64" s="9" t="inlineStr">
        <is>
          <t>เว้นวรรค/ตัดคำ/จัดหน้า</t>
        </is>
      </c>
      <c r="D64" s="4" t="inlineStr">
        <is>
          <t>"ABM, TDABCและการวิเคราะห์" ขาดเว้นวรรค</t>
        </is>
      </c>
      <c r="E64" s="4" t="inlineStr">
        <is>
          <t>เป็น "ABM, TDABC และการวิเคราะห์"</t>
        </is>
      </c>
      <c r="F64" s="5" t="inlineStr">
        <is>
          <t>รอแก้</t>
        </is>
      </c>
      <c r="G64" s="4" t="inlineStr"/>
    </row>
    <row r="65">
      <c r="A65" s="8" t="n">
        <v>64</v>
      </c>
      <c r="B65" s="8" t="n">
        <v>33</v>
      </c>
      <c r="C65" s="9" t="inlineStr">
        <is>
          <t>เว้นวรรค/ตัดคำ/จัดหน้า</t>
        </is>
      </c>
      <c r="D65" s="4" t="inlineStr">
        <is>
          <t>ข้อความติดกันไม่เว้นวรรค เช่น "การปลดบุคลากรแต่คือ", "รักษารายรับลดรายจ่าย"</t>
        </is>
      </c>
      <c r="E65" s="4" t="inlineStr">
        <is>
          <t>เว้นวรรคระหว่างวลี</t>
        </is>
      </c>
      <c r="F65" s="5" t="inlineStr">
        <is>
          <t>รอแก้</t>
        </is>
      </c>
      <c r="G65" s="4" t="inlineStr"/>
    </row>
    <row r="66">
      <c r="A66" s="8" t="n">
        <v>65</v>
      </c>
      <c r="B66" s="8" t="n">
        <v>33</v>
      </c>
      <c r="C66" s="9" t="inlineStr">
        <is>
          <t>เว้นวรรค/ตัดคำ/จัดหน้า</t>
        </is>
      </c>
      <c r="D66" s="4" t="inlineStr">
        <is>
          <t>"เพื่อจัดสรร ทรัพยากร" มีเว้นวรรคเกิน</t>
        </is>
      </c>
      <c r="E66" s="4" t="inlineStr">
        <is>
          <t>เป็น "จัดสรรทรัพยากร"</t>
        </is>
      </c>
      <c r="F66" s="5" t="inlineStr">
        <is>
          <t>รอแก้</t>
        </is>
      </c>
      <c r="G66" s="4" t="inlineStr"/>
    </row>
    <row r="67">
      <c r="A67" s="10" t="n">
        <v>66</v>
      </c>
      <c r="B67" s="10" t="n">
        <v>34</v>
      </c>
      <c r="C67" s="11" t="inlineStr">
        <is>
          <t>ข้อสังเกต/ควรตรวจสอบ</t>
        </is>
      </c>
      <c r="D67" s="4" t="inlineStr">
        <is>
          <t>URL ถูกตัดขึ้นบรรทัดใหม่ (…/profit-priorities-from-activity / -based-costing) อาจคลิก/พิมพ์ตามผิด</t>
        </is>
      </c>
      <c r="E67" s="4" t="inlineStr">
        <is>
          <t>ใช้ short link หรือจัดไม่ให้ตัดกลาง URL</t>
        </is>
      </c>
      <c r="F67" s="5" t="inlineStr">
        <is>
          <t>รอแก้</t>
        </is>
      </c>
      <c r="G67" s="4" t="inlineStr"/>
    </row>
    <row r="68">
      <c r="A68" s="8" t="n">
        <v>67</v>
      </c>
      <c r="B68" s="8" t="n">
        <v>35</v>
      </c>
      <c r="C68" s="9" t="inlineStr">
        <is>
          <t>เว้นวรรค/ตัดคำ/จัดหน้า</t>
        </is>
      </c>
      <c r="D68" s="4" t="inlineStr">
        <is>
          <t>ในภาพหัวเรื่อง: "นักบัญชี ควรใช้ AI หรือไม่" มีเว้นวรรคเกินหลัง "นักบัญชี" (ข้อความอยู่ในภาพ ต้องแก้ที่ไฟล์ต้นฉบับ)</t>
        </is>
      </c>
      <c r="E68" s="4" t="inlineStr">
        <is>
          <t>เป็น "นักบัญชีควรใช้ AI หรือไม่"</t>
        </is>
      </c>
      <c r="F68" s="5" t="inlineStr">
        <is>
          <t>รอแก้</t>
        </is>
      </c>
      <c r="G68" s="4" t="inlineStr"/>
    </row>
    <row r="69">
      <c r="A69" s="8" t="n">
        <v>68</v>
      </c>
      <c r="B69" s="8" t="n">
        <v>35</v>
      </c>
      <c r="C69" s="9" t="inlineStr">
        <is>
          <t>เว้นวรรค/ตัดคำ/จัดหน้า</t>
        </is>
      </c>
      <c r="D69" s="4" t="inlineStr">
        <is>
          <t>"ตามไปด้วยเพราะหาก" ขาดเว้นวรรค</t>
        </is>
      </c>
      <c r="E69" s="4" t="inlineStr">
        <is>
          <t>เป็น "ตามไปด้วย เพราะหาก..."</t>
        </is>
      </c>
      <c r="F69" s="5" t="inlineStr">
        <is>
          <t>รอแก้</t>
        </is>
      </c>
      <c r="G69" s="4" t="inlineStr"/>
    </row>
    <row r="70">
      <c r="A70" s="8" t="n">
        <v>69</v>
      </c>
      <c r="B70" s="8" t="n">
        <v>37</v>
      </c>
      <c r="C70" s="9" t="inlineStr">
        <is>
          <t>เว้นวรรค/ตัดคำ/จัดหน้า</t>
        </is>
      </c>
      <c r="D70" s="4" t="inlineStr">
        <is>
          <t>"มาตรการรักษา ความปลอดภัย" มีเว้นวรรคเกิน</t>
        </is>
      </c>
      <c r="E70" s="4" t="inlineStr">
        <is>
          <t>เป็น "มาตรการรักษาความปลอดภัย"</t>
        </is>
      </c>
      <c r="F70" s="5" t="inlineStr">
        <is>
          <t>รอแก้</t>
        </is>
      </c>
      <c r="G70" s="4" t="inlineStr"/>
    </row>
    <row r="71">
      <c r="A71" s="8" t="n">
        <v>70</v>
      </c>
      <c r="B71" s="8" t="n">
        <v>37</v>
      </c>
      <c r="C71" s="9" t="inlineStr">
        <is>
          <t>เว้นวรรค/ตัดคำ/จัดหน้า</t>
        </is>
      </c>
      <c r="D71" s="4" t="inlineStr">
        <is>
          <t>อ้างอิง "ACCA. (2026).The ethical..." ขาดเว้นวรรคหลังวงเล็บปี (IESBA บรรทัดบนเว้นถูก)</t>
        </is>
      </c>
      <c r="E71" s="4" t="inlineStr">
        <is>
          <t>เป็น "ACCA. (2026). The ethical..."</t>
        </is>
      </c>
      <c r="F71" s="5" t="inlineStr">
        <is>
          <t>รอแก้</t>
        </is>
      </c>
      <c r="G71" s="4" t="inlineStr"/>
    </row>
    <row r="72">
      <c r="A72" s="8" t="n">
        <v>71</v>
      </c>
      <c r="B72" s="8" t="n">
        <v>38</v>
      </c>
      <c r="C72" s="9" t="inlineStr">
        <is>
          <t>เว้นวรรค/ตัดคำ/จัดหน้า</t>
        </is>
      </c>
      <c r="D72" s="4" t="inlineStr">
        <is>
          <t>"TFRS1" ไม่เว้นวรรค (กล่องอื่นใช้ "TFRS 3", "TFRS 9" ฯลฯ)</t>
        </is>
      </c>
      <c r="E72" s="4" t="inlineStr">
        <is>
          <t>เป็น "TFRS 1"</t>
        </is>
      </c>
      <c r="F72" s="5" t="inlineStr">
        <is>
          <t>รอแก้</t>
        </is>
      </c>
      <c r="G72" s="4" t="inlineStr"/>
    </row>
    <row r="73">
      <c r="A73" s="6" t="n">
        <v>72</v>
      </c>
      <c r="B73" s="6" t="n">
        <v>38</v>
      </c>
      <c r="C73" s="7" t="inlineStr">
        <is>
          <t>คำผิด/ข้อความผิด</t>
        </is>
      </c>
      <c r="D73" s="4" t="inlineStr">
        <is>
          <t>กล่องที่ 3: "สัญญาอ้างถึงระแสไฟฟ้า" ตก ก</t>
        </is>
      </c>
      <c r="E73" s="4" t="inlineStr">
        <is>
          <t>แก้เป็น "สัญญาอ้างอิงกระแสไฟฟ้า/สัญญาอ้างถึงกระแสไฟฟ้า"</t>
        </is>
      </c>
      <c r="F73" s="5" t="inlineStr">
        <is>
          <t>รอแก้</t>
        </is>
      </c>
      <c r="G73" s="4" t="inlineStr"/>
    </row>
    <row r="74">
      <c r="A74" s="8" t="n">
        <v>73</v>
      </c>
      <c r="B74" s="8" t="n">
        <v>39</v>
      </c>
      <c r="C74" s="9" t="inlineStr">
        <is>
          <t>เว้นวรรค/ตัดคำ/จัดหน้า</t>
        </is>
      </c>
      <c r="D74" s="4" t="inlineStr">
        <is>
          <t>"ต้นทุนการรวมธุรกิจซึ่งแนวทาง" ขาดเว้นวรรค</t>
        </is>
      </c>
      <c r="E74" s="4" t="inlineStr">
        <is>
          <t>เป็น "ต้นทุนการรวมธุรกิจ ซึ่งแนวทาง..."</t>
        </is>
      </c>
      <c r="F74" s="5" t="inlineStr">
        <is>
          <t>รอแก้</t>
        </is>
      </c>
      <c r="G74" s="4" t="inlineStr"/>
    </row>
    <row r="75">
      <c r="A75" s="2" t="n">
        <v>74</v>
      </c>
      <c r="B75" s="2" t="n">
        <v>40</v>
      </c>
      <c r="C75" s="3" t="inlineStr">
        <is>
          <t>ต้องแก้ก่อนเผยแพร่</t>
        </is>
      </c>
      <c r="D75" s="4" t="inlineStr">
        <is>
          <t>"วันที่เผยแพร่ DD MMM YYYY" เป็นข้อความ placeholder ยังไม่ได้ใส่วันที่จริง</t>
        </is>
      </c>
      <c r="E75" s="4" t="inlineStr">
        <is>
          <t>ใส่วันที่เผยแพร่จริง</t>
        </is>
      </c>
      <c r="F75" s="5" t="inlineStr">
        <is>
          <t>รอแก้</t>
        </is>
      </c>
      <c r="G75" s="4" t="inlineStr"/>
    </row>
    <row r="76">
      <c r="A76" s="8" t="n">
        <v>75</v>
      </c>
      <c r="B76" s="8" t="n">
        <v>40</v>
      </c>
      <c r="C76" s="9" t="inlineStr">
        <is>
          <t>เว้นวรรค/ตัดคำ/จัดหน้า</t>
        </is>
      </c>
      <c r="D76" s="4" t="inlineStr">
        <is>
          <t>"การรายงานทางการเงินและมิได้" (ตัวหนาติดตัวธรรมดา) ขาดเว้นวรรค</t>
        </is>
      </c>
      <c r="E76" s="4" t="inlineStr">
        <is>
          <t>ตรวจเว้นวรรคหลังข้อความตัวหนา</t>
        </is>
      </c>
      <c r="F76" s="5" t="inlineStr">
        <is>
          <t>รอแก้</t>
        </is>
      </c>
      <c r="G76" s="4" t="inlineStr"/>
    </row>
    <row r="77">
      <c r="A77" s="10" t="n">
        <v>76</v>
      </c>
      <c r="B77" s="10" t="n">
        <v>41</v>
      </c>
      <c r="C77" s="11" t="inlineStr">
        <is>
          <t>ข้อสังเกต/ควรตรวจสอบ</t>
        </is>
      </c>
      <c r="D77" s="4" t="inlineStr">
        <is>
          <t>ผังใช้คำว่า "ลูกค้า" แต่เนื้อหาบทความใช้ "ผู้ซื้อ/ผู้ซื้อไฟฟ้า"</t>
        </is>
      </c>
      <c r="E77" s="4" t="inlineStr">
        <is>
          <t>ใช้คำเดียวกันทั้งบทความ</t>
        </is>
      </c>
      <c r="F77" s="5" t="inlineStr">
        <is>
          <t>รอแก้</t>
        </is>
      </c>
      <c r="G77" s="4" t="inlineStr"/>
    </row>
    <row r="78">
      <c r="A78" s="8" t="n">
        <v>77</v>
      </c>
      <c r="B78" s="8" t="n">
        <v>42</v>
      </c>
      <c r="C78" s="9" t="inlineStr">
        <is>
          <t>เว้นวรรค/ตัดคำ/จัดหน้า</t>
        </is>
      </c>
      <c r="D78" s="4" t="inlineStr">
        <is>
          <t>ตัดคำ "ในเวลาที่สม/เหตุสมผล" ข้ามบรรทัด</t>
        </is>
      </c>
      <c r="E78" s="4" t="inlineStr">
        <is>
          <t>ให้ "สมเหตุสมผล" อยู่บรรทัดเดียวกัน</t>
        </is>
      </c>
      <c r="F78" s="5" t="inlineStr">
        <is>
          <t>รอแก้</t>
        </is>
      </c>
      <c r="G78" s="4" t="inlineStr"/>
    </row>
    <row r="79">
      <c r="A79" s="8" t="n">
        <v>78</v>
      </c>
      <c r="B79" s="8" t="n">
        <v>42</v>
      </c>
      <c r="C79" s="9" t="inlineStr">
        <is>
          <t>เว้นวรรค/ตัดคำ/จัดหน้า</t>
        </is>
      </c>
      <c r="D79" s="4" t="inlineStr">
        <is>
          <t>"ที่ระบุให้ ผู้ซื้อไฟฟ้า" มีเว้นวรรคเกิน</t>
        </is>
      </c>
      <c r="E79" s="4" t="inlineStr">
        <is>
          <t>เป็น "ที่ระบุให้ผู้ซื้อไฟฟ้า"</t>
        </is>
      </c>
      <c r="F79" s="5" t="inlineStr">
        <is>
          <t>รอแก้</t>
        </is>
      </c>
      <c r="G79" s="4" t="inlineStr"/>
    </row>
    <row r="80">
      <c r="A80" s="8" t="n">
        <v>79</v>
      </c>
      <c r="B80" s="8" t="n">
        <v>43</v>
      </c>
      <c r="C80" s="9" t="inlineStr">
        <is>
          <t>เว้นวรรค/ตัดคำ/จัดหน้า</t>
        </is>
      </c>
      <c r="D80" s="4" t="inlineStr">
        <is>
          <t>"Bound volume 2026" (v ตัวเล็ก) ไม่ตรงกับหน้า 38 "Bound Volume 2026"</t>
        </is>
      </c>
      <c r="E80" s="4" t="inlineStr">
        <is>
          <t>ใช้ "Bound Volume" ให้ตรงกัน</t>
        </is>
      </c>
      <c r="F80" s="5" t="inlineStr">
        <is>
          <t>รอแก้</t>
        </is>
      </c>
      <c r="G80" s="4" t="inlineStr"/>
    </row>
    <row r="81">
      <c r="A81" s="6" t="n">
        <v>80</v>
      </c>
      <c r="B81" s="6" t="n">
        <v>43</v>
      </c>
      <c r="C81" s="7" t="inlineStr">
        <is>
          <t>คำผิด/ข้อความผิด</t>
        </is>
      </c>
      <c r="D81" s="4" t="inlineStr">
        <is>
          <t>"ที่เกี่ยวข้องเกี่ยวกับวิธีการใช้..." ซ้อนคำ</t>
        </is>
      </c>
      <c r="E81" s="4" t="inlineStr">
        <is>
          <t>เป็น "ที่เกี่ยวกับวิธีการใช้..."</t>
        </is>
      </c>
      <c r="F81" s="5" t="inlineStr">
        <is>
          <t>รอแก้</t>
        </is>
      </c>
      <c r="G81" s="4" t="inlineStr"/>
    </row>
    <row r="82">
      <c r="A82" s="8" t="n">
        <v>81</v>
      </c>
      <c r="B82" s="8" t="n">
        <v>50</v>
      </c>
      <c r="C82" s="9" t="inlineStr">
        <is>
          <t>เว้นวรรค/ตัดคำ/จัดหน้า</t>
        </is>
      </c>
      <c r="D82" s="4" t="inlineStr">
        <is>
          <t>เลขข้อใช้ "(1.)" "(2.)" "(3.)" (หน้า 50–51) แต่หน้า 47 ใช้ "(1)" "(2)"</t>
        </is>
      </c>
      <c r="E82" s="4" t="inlineStr">
        <is>
          <t>ใช้รูปแบบเดียวกัน เช่น (1) (2) (3)</t>
        </is>
      </c>
      <c r="F82" s="5" t="inlineStr">
        <is>
          <t>รอแก้</t>
        </is>
      </c>
      <c r="G82" s="4" t="inlineStr"/>
    </row>
    <row r="83">
      <c r="A83" s="8" t="n">
        <v>82</v>
      </c>
      <c r="B83" s="8" t="n">
        <v>50</v>
      </c>
      <c r="C83" s="9" t="inlineStr">
        <is>
          <t>เว้นวรรค/ตัดคำ/จัดหน้า</t>
        </is>
      </c>
      <c r="D83" s="4" t="inlineStr">
        <is>
          <t>"81 ถึง 86  ดังนี้" เว้นวรรค 2 ช่อง</t>
        </is>
      </c>
      <c r="E83" s="4" t="inlineStr">
        <is>
          <t>เหลือ 1 ช่อง</t>
        </is>
      </c>
      <c r="F83" s="5" t="inlineStr">
        <is>
          <t>รอแก้</t>
        </is>
      </c>
      <c r="G83" s="4" t="inlineStr"/>
    </row>
    <row r="84">
      <c r="A84" s="8" t="n">
        <v>83</v>
      </c>
      <c r="B84" s="8" t="n">
        <v>51</v>
      </c>
      <c r="C84" s="9" t="inlineStr">
        <is>
          <t>เว้นวรรค/ตัดคำ/จัดหน้า</t>
        </is>
      </c>
      <c r="D84" s="4" t="inlineStr">
        <is>
          <t>ข้อความในกล่องไอคอน เช่น "มูลค่าเริ่มแรกของหนี้สิน", "การบูรณะสถานที่ตั้งของ" ตัวอักษรยืดห่าง</t>
        </is>
      </c>
      <c r="E84" s="4" t="inlineStr">
        <is>
          <t>ปรับ letter-spacing</t>
        </is>
      </c>
      <c r="F84" s="5" t="inlineStr">
        <is>
          <t>รอแก้</t>
        </is>
      </c>
      <c r="G84" s="4" t="inlineStr"/>
    </row>
    <row r="85">
      <c r="A85" s="10" t="n">
        <v>84</v>
      </c>
      <c r="B85" s="10" t="n">
        <v>52</v>
      </c>
      <c r="C85" s="11" t="inlineStr">
        <is>
          <t>ข้อสังเกต/ควรตรวจสอบ</t>
        </is>
      </c>
      <c r="D85" s="4" t="inlineStr">
        <is>
          <t>ยกตัวอย่างอัตราอ้างอิง "LIBOR" ซึ่งเลิกใช้แล้วตั้งแต่ปี 2566</t>
        </is>
      </c>
      <c r="E85" s="4" t="inlineStr">
        <is>
          <t>พิจารณาใช้ตัวอย่างอื่น เช่น THOR/SOFR</t>
        </is>
      </c>
      <c r="F85" s="5" t="inlineStr">
        <is>
          <t>รอแก้</t>
        </is>
      </c>
      <c r="G85" s="4" t="inlineStr"/>
    </row>
    <row r="86">
      <c r="A86" s="8" t="n">
        <v>85</v>
      </c>
      <c r="B86" s="8" t="n">
        <v>53</v>
      </c>
      <c r="C86" s="9" t="inlineStr">
        <is>
          <t>เว้นวรรค/ตัดคำ/จัดหน้า</t>
        </is>
      </c>
      <c r="D86" s="4" t="inlineStr">
        <is>
          <t>หัวข้อ "ตัวอย่างการบันทึกบัญชี" ต่างจากหัวข้ออื่นที่ใช้ "ตัวอย่างวิธีการบันทึกบัญชี"</t>
        </is>
      </c>
      <c r="E86" s="4" t="inlineStr">
        <is>
          <t>ใช้ชื่อหัวข้อแบบเดียวกัน</t>
        </is>
      </c>
      <c r="F86" s="5" t="inlineStr">
        <is>
          <t>รอแก้</t>
        </is>
      </c>
      <c r="G86" s="4" t="inlineStr"/>
    </row>
    <row r="87">
      <c r="A87" s="8" t="n">
        <v>86</v>
      </c>
      <c r="B87" s="8" t="n">
        <v>54</v>
      </c>
      <c r="C87" s="9" t="inlineStr">
        <is>
          <t>เว้นวรรค/ตัดคำ/จัดหน้า</t>
        </is>
      </c>
      <c r="D87" s="4" t="inlineStr">
        <is>
          <t>"Case Competition หรือ การแข่งขันกรณีศึกษา" เว้นวรรคเกินหลัง "หรือ"; บรรทัดในย่อหน้านี้ยืดตัวอักษรไม่เท่ากัน</t>
        </is>
      </c>
      <c r="E87" s="4" t="inlineStr">
        <is>
          <t>ตัดเว้นวรรคเกิน / ปรับ justification</t>
        </is>
      </c>
      <c r="F87" s="5" t="inlineStr">
        <is>
          <t>รอแก้</t>
        </is>
      </c>
      <c r="G87" s="4" t="inlineStr"/>
    </row>
    <row r="88">
      <c r="A88" s="8" t="n">
        <v>87</v>
      </c>
      <c r="B88" s="8" t="n">
        <v>55</v>
      </c>
      <c r="C88" s="9" t="inlineStr">
        <is>
          <t>เว้นวรรค/ตัดคำ/จัดหน้า</t>
        </is>
      </c>
      <c r="D88" s="4" t="inlineStr">
        <is>
          <t>3 บรรทัดท้ายคอลัมน์ซ้าย (และการพร้อมช่วย... ช่วยให้ทุกคน...) ยื่นเลยขอบคอลัมน์ไปทางซ้าย</t>
        </is>
      </c>
      <c r="E88" s="4" t="inlineStr">
        <is>
          <t>จัดแนวให้ตรงขอบคอลัมน์</t>
        </is>
      </c>
      <c r="F88" s="5" t="inlineStr">
        <is>
          <t>รอแก้</t>
        </is>
      </c>
      <c r="G88" s="4" t="inlineStr"/>
    </row>
    <row r="89">
      <c r="A89" s="8" t="n">
        <v>88</v>
      </c>
      <c r="B89" s="8" t="n">
        <v>56</v>
      </c>
      <c r="C89" s="9" t="inlineStr">
        <is>
          <t>เว้นวรรค/ตัดคำ/จัดหน้า</t>
        </is>
      </c>
      <c r="D89" s="4" t="inlineStr">
        <is>
          <t>ใช้เครื่องหมายคำพูดตรง "อัปสกิล" "ปลดล็อก" ขณะที่ทั้งเล่มใช้ “ ” แบบโค้ง</t>
        </is>
      </c>
      <c r="E89" s="4" t="inlineStr">
        <is>
          <t>เปลี่ยนเป็น “ ”</t>
        </is>
      </c>
      <c r="F89" s="5" t="inlineStr">
        <is>
          <t>รอแก้</t>
        </is>
      </c>
      <c r="G89" s="4" t="inlineStr"/>
    </row>
    <row r="90">
      <c r="A90" s="8" t="n">
        <v>89</v>
      </c>
      <c r="B90" s="8" t="n">
        <v>56</v>
      </c>
      <c r="C90" s="9" t="inlineStr">
        <is>
          <t>เว้นวรรค/ตัดคำ/จัดหน้า</t>
        </is>
      </c>
      <c r="D90" s="4" t="inlineStr">
        <is>
          <t>"หากจะเรียกว่า" ตัวอักษรถูกยืดห่างมาก (ข้างภาพ)</t>
        </is>
      </c>
      <c r="E90" s="4" t="inlineStr">
        <is>
          <t>ปรับ text wrap/justification</t>
        </is>
      </c>
      <c r="F90" s="5" t="inlineStr">
        <is>
          <t>รอแก้</t>
        </is>
      </c>
      <c r="G90" s="4" t="inlineStr"/>
    </row>
    <row r="91">
      <c r="A91" s="10" t="n">
        <v>90</v>
      </c>
      <c r="B91" s="10" t="n">
        <v>58</v>
      </c>
      <c r="C91" s="11" t="inlineStr">
        <is>
          <t>ข้อสังเกต/ควรตรวจสอบ</t>
        </is>
      </c>
      <c r="D91" s="4" t="inlineStr">
        <is>
          <t>ปกหลังใช้เบอร์รูปแบบ "0 2685 2500" แต่หน้า 3 ใช้ "02 685 2514"</t>
        </is>
      </c>
      <c r="E91" s="4" t="inlineStr">
        <is>
          <t>ใช้รูปแบบเดียวกัน</t>
        </is>
      </c>
      <c r="F91" s="5" t="inlineStr">
        <is>
          <t>รอแก้</t>
        </is>
      </c>
      <c r="G91" s="4" t="inlineStr"/>
    </row>
  </sheetData>
  <autoFilter ref="A1:G91"/>
  <dataValidations count="1">
    <dataValidation sqref="F2:F91" showDropDown="0" showInputMessage="0" showErrorMessage="0" allowBlank="1" type="list">
      <formula1>"รอแก้,แก้แล้ว,ไม่แก้"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2" t="inlineStr">
        <is>
          <t>ระดับ</t>
        </is>
      </c>
      <c r="B1" s="12" t="inlineStr">
        <is>
          <t>จำนวน</t>
        </is>
      </c>
    </row>
    <row r="2">
      <c r="A2" t="inlineStr">
        <is>
          <t>ต้องแก้ก่อนเผยแพร่</t>
        </is>
      </c>
      <c r="B2">
        <f>COUNTIF('รายการตรวจแก้'!C:C,"ต้องแก้ก่อนเผยแพร่")</f>
        <v/>
      </c>
    </row>
    <row r="3">
      <c r="A3" t="inlineStr">
        <is>
          <t>คำผิด/ข้อความผิด</t>
        </is>
      </c>
      <c r="B3">
        <f>COUNTIF('รายการตรวจแก้'!C:C,"คำผิด/ข้อความผิด")</f>
        <v/>
      </c>
    </row>
    <row r="4">
      <c r="A4" t="inlineStr">
        <is>
          <t>เว้นวรรค/ตัดคำ/จัดหน้า</t>
        </is>
      </c>
      <c r="B4">
        <f>COUNTIF('รายการตรวจแก้'!C:C,"เว้นวรรค/ตัดคำ/จัดหน้า")</f>
        <v/>
      </c>
    </row>
    <row r="5">
      <c r="A5" t="inlineStr">
        <is>
          <t>ข้อสังเกต/ควรตรวจสอบ</t>
        </is>
      </c>
      <c r="B5">
        <f>COUNTIF('รายการตรวจแก้'!C:C,"ข้อสังเกต/ควรตรวจสอบ")</f>
        <v/>
      </c>
    </row>
    <row r="6">
      <c r="A6" t="inlineStr">
        <is>
          <t>รวม</t>
        </is>
      </c>
      <c r="B6">
        <f>SUM(B2:B5)</f>
        <v/>
      </c>
    </row>
    <row r="7">
      <c r="A7" t="inlineStr">
        <is>
          <t>แก้แล้ว</t>
        </is>
      </c>
      <c r="B7">
        <f>COUNTIF('รายการตรวจแก้'!F:F,"แก้แล้ว")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2026-10-09T11:17:15Z</dcterms:created>
  <dcterms:modified xmlns:dcterms="http://purl.org/dc/terms/" xmlns:xsi="http://www.w3.org/2001/XMLSchema-instance" xsi:type="dcterms:W3CDTF">2026-10-09T11:17:15Z</dcterms:modified>
</cp:coreProperties>
</file>